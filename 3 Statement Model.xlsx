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8_{6070CD6A-CC64-46CE-9BC6-3969D74EE73F}" xr6:coauthVersionLast="47" xr6:coauthVersionMax="47" xr10:uidLastSave="{00000000-0000-0000-0000-000000000000}"/>
  <bookViews>
    <workbookView xWindow="-120" yWindow="-120" windowWidth="29040" windowHeight="15840" activeTab="1" xr2:uid="{0334A488-406F-4700-90AB-B5D870BE4CB3}"/>
  </bookViews>
  <sheets>
    <sheet name="Assumptions" sheetId="1" r:id="rId1"/>
    <sheet name="Stress 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K21" i="3"/>
  <c r="J22" i="3"/>
  <c r="K22" i="3"/>
  <c r="J23" i="3"/>
  <c r="K23" i="3"/>
  <c r="I34" i="3"/>
  <c r="D31" i="3"/>
  <c r="B26" i="3"/>
  <c r="I19" i="3"/>
  <c r="I22" i="3" s="1"/>
  <c r="I18" i="3"/>
  <c r="I30" i="3" s="1"/>
  <c r="I13" i="3"/>
  <c r="I9" i="3" s="1"/>
  <c r="I8" i="3"/>
  <c r="I7" i="3"/>
  <c r="I11" i="3" s="1"/>
  <c r="I6" i="3"/>
  <c r="I31" i="3" s="1"/>
  <c r="J5" i="3"/>
  <c r="J6" i="3" s="1"/>
  <c r="I5" i="3"/>
  <c r="I11" i="1"/>
  <c r="J5" i="1"/>
  <c r="K5" i="1" s="1"/>
  <c r="K18" i="1" s="1"/>
  <c r="K30" i="1" s="1"/>
  <c r="I5" i="1"/>
  <c r="I18" i="1"/>
  <c r="I30" i="1" s="1"/>
  <c r="I13" i="1"/>
  <c r="I9" i="1" s="1"/>
  <c r="I8" i="1"/>
  <c r="D31" i="1"/>
  <c r="B26" i="1"/>
  <c r="I6" i="1"/>
  <c r="I31" i="1" s="1"/>
  <c r="J34" i="3" l="1"/>
  <c r="J19" i="3"/>
  <c r="J31" i="3"/>
  <c r="J20" i="3"/>
  <c r="I14" i="3"/>
  <c r="I12" i="3"/>
  <c r="K5" i="3"/>
  <c r="J8" i="3"/>
  <c r="J13" i="3"/>
  <c r="I24" i="3"/>
  <c r="J7" i="3"/>
  <c r="J18" i="3"/>
  <c r="J30" i="3" s="1"/>
  <c r="I21" i="3"/>
  <c r="I32" i="3"/>
  <c r="I20" i="3"/>
  <c r="I23" i="3" s="1"/>
  <c r="I20" i="1"/>
  <c r="I23" i="1" s="1"/>
  <c r="I21" i="1"/>
  <c r="J18" i="1"/>
  <c r="J30" i="1" s="1"/>
  <c r="I24" i="1"/>
  <c r="I32" i="1"/>
  <c r="I19" i="1"/>
  <c r="I22" i="1" s="1"/>
  <c r="I34" i="1"/>
  <c r="K13" i="1"/>
  <c r="J13" i="1"/>
  <c r="J6" i="1"/>
  <c r="K8" i="1"/>
  <c r="I7" i="1"/>
  <c r="J8" i="1"/>
  <c r="K6" i="1"/>
  <c r="K18" i="3" l="1"/>
  <c r="K30" i="3" s="1"/>
  <c r="K13" i="3"/>
  <c r="K8" i="3"/>
  <c r="K6" i="3"/>
  <c r="K7" i="3" s="1"/>
  <c r="J24" i="3"/>
  <c r="J9" i="3"/>
  <c r="J11" i="3" s="1"/>
  <c r="I35" i="3"/>
  <c r="I36" i="3" s="1"/>
  <c r="I17" i="3"/>
  <c r="I26" i="3" s="1"/>
  <c r="I29" i="3" s="1"/>
  <c r="I33" i="3" s="1"/>
  <c r="K9" i="1"/>
  <c r="K32" i="1" s="1"/>
  <c r="K24" i="1"/>
  <c r="I12" i="1"/>
  <c r="I14" i="1" s="1"/>
  <c r="I17" i="1" s="1"/>
  <c r="J34" i="1"/>
  <c r="J19" i="1"/>
  <c r="J31" i="1"/>
  <c r="J20" i="1"/>
  <c r="K31" i="1"/>
  <c r="K34" i="1"/>
  <c r="K19" i="1"/>
  <c r="K20" i="1"/>
  <c r="J9" i="1"/>
  <c r="J32" i="1" s="1"/>
  <c r="J24" i="1"/>
  <c r="J7" i="1"/>
  <c r="K7" i="1"/>
  <c r="J12" i="3" l="1"/>
  <c r="J14" i="3"/>
  <c r="K24" i="3"/>
  <c r="K9" i="3"/>
  <c r="K11" i="3" s="1"/>
  <c r="J32" i="3"/>
  <c r="K34" i="3"/>
  <c r="K19" i="3"/>
  <c r="K31" i="3"/>
  <c r="K20" i="3"/>
  <c r="K11" i="1"/>
  <c r="K12" i="1" s="1"/>
  <c r="K14" i="1" s="1"/>
  <c r="I26" i="1"/>
  <c r="I29" i="1" s="1"/>
  <c r="I33" i="1" s="1"/>
  <c r="I35" i="1"/>
  <c r="I36" i="1" s="1"/>
  <c r="J11" i="1"/>
  <c r="K12" i="3" l="1"/>
  <c r="K14" i="3" s="1"/>
  <c r="K32" i="3"/>
  <c r="J17" i="3"/>
  <c r="J26" i="3" s="1"/>
  <c r="J29" i="3" s="1"/>
  <c r="J33" i="3" s="1"/>
  <c r="J35" i="3"/>
  <c r="J36" i="3" s="1"/>
  <c r="K35" i="1"/>
  <c r="K36" i="1" s="1"/>
  <c r="K17" i="1"/>
  <c r="J12" i="1"/>
  <c r="J14" i="1" s="1"/>
  <c r="K35" i="3" l="1"/>
  <c r="K36" i="3" s="1"/>
  <c r="K17" i="3"/>
  <c r="K26" i="3" s="1"/>
  <c r="K29" i="3" s="1"/>
  <c r="K33" i="3" s="1"/>
  <c r="K26" i="1"/>
  <c r="K29" i="1" s="1"/>
  <c r="K33" i="1" s="1"/>
  <c r="J17" i="1"/>
  <c r="J35" i="1"/>
  <c r="J36" i="1" s="1"/>
  <c r="J26" i="1" l="1"/>
  <c r="J29" i="1" s="1"/>
  <c r="J33" i="1" s="1"/>
</calcChain>
</file>

<file path=xl/sharedStrings.xml><?xml version="1.0" encoding="utf-8"?>
<sst xmlns="http://schemas.openxmlformats.org/spreadsheetml/2006/main" count="156" uniqueCount="60">
  <si>
    <t>Assumptions - Input Sheet</t>
  </si>
  <si>
    <t>Operating</t>
  </si>
  <si>
    <t>Revenue</t>
  </si>
  <si>
    <t>Revenue(Yr 1)</t>
  </si>
  <si>
    <t>Rev. Growth</t>
  </si>
  <si>
    <t>COGS</t>
  </si>
  <si>
    <t>Operating Expenses</t>
  </si>
  <si>
    <t>Tax Rate</t>
  </si>
  <si>
    <t>Capital &amp; Depreciation</t>
  </si>
  <si>
    <t>CapEx</t>
  </si>
  <si>
    <t>Asset Life</t>
  </si>
  <si>
    <t>Depreciation</t>
  </si>
  <si>
    <t>Straight-Line</t>
  </si>
  <si>
    <t>Working Capital Assumptions</t>
  </si>
  <si>
    <t>Accounts receivable</t>
  </si>
  <si>
    <t>Inventory</t>
  </si>
  <si>
    <t>Accounts Payable</t>
  </si>
  <si>
    <t>Of revenue</t>
  </si>
  <si>
    <t>of COGS</t>
  </si>
  <si>
    <t>per Year</t>
  </si>
  <si>
    <t>Assets</t>
  </si>
  <si>
    <t>Liabilities</t>
  </si>
  <si>
    <t>Equity</t>
  </si>
  <si>
    <t>Item</t>
  </si>
  <si>
    <t>Amount</t>
  </si>
  <si>
    <t>Cash</t>
  </si>
  <si>
    <t>Accounts Receivable</t>
  </si>
  <si>
    <t>PP&amp;E(net)</t>
  </si>
  <si>
    <t>Retained Earnings</t>
  </si>
  <si>
    <t>Total</t>
  </si>
  <si>
    <t>Income Statement</t>
  </si>
  <si>
    <t>Year 1</t>
  </si>
  <si>
    <t>Year 2</t>
  </si>
  <si>
    <t>Year 3</t>
  </si>
  <si>
    <t>Cost of Goods Sold (COGS)</t>
  </si>
  <si>
    <t>EBIT</t>
  </si>
  <si>
    <t>Net Income</t>
  </si>
  <si>
    <t>Gross Profit</t>
  </si>
  <si>
    <t>Opex</t>
  </si>
  <si>
    <t>Tax</t>
  </si>
  <si>
    <t>Interest/Debt</t>
  </si>
  <si>
    <t>Cash Flow Statement</t>
  </si>
  <si>
    <t>Operating Cash Flow</t>
  </si>
  <si>
    <t>Investing Cash Flow(ICF)</t>
  </si>
  <si>
    <t>Financing Cash Flow(FCF)</t>
  </si>
  <si>
    <t>Next Cash Flow</t>
  </si>
  <si>
    <t>No Debt or Equity</t>
  </si>
  <si>
    <t>Balance Sheet</t>
  </si>
  <si>
    <t>AR</t>
  </si>
  <si>
    <t>PP&amp;E</t>
  </si>
  <si>
    <t>Total Assets</t>
  </si>
  <si>
    <t>AP</t>
  </si>
  <si>
    <t>Liabilities + Earnings</t>
  </si>
  <si>
    <t>Residual Value</t>
  </si>
  <si>
    <t>Accounts Receivable(AR1)</t>
  </si>
  <si>
    <t>Accounts Payable(AP1)</t>
  </si>
  <si>
    <t>Inventory 1</t>
  </si>
  <si>
    <t>Change in AR</t>
  </si>
  <si>
    <t>Change in Inventory</t>
  </si>
  <si>
    <t>Change in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</si>
</sst>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5" formatCode="0.00;[Red]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2" borderId="1" xfId="3" applyAlignment="1">
      <alignment horizontal="center"/>
    </xf>
    <xf numFmtId="9" fontId="0" fillId="0" borderId="0" xfId="2" applyFont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Border="1"/>
    <xf numFmtId="0" fontId="0" fillId="0" borderId="3" xfId="0" applyBorder="1"/>
    <xf numFmtId="0" fontId="2" fillId="2" borderId="4" xfId="3" applyBorder="1" applyAlignment="1">
      <alignment horizontal="center"/>
    </xf>
    <xf numFmtId="0" fontId="2" fillId="2" borderId="5" xfId="3" applyBorder="1" applyAlignment="1">
      <alignment horizontal="center"/>
    </xf>
    <xf numFmtId="0" fontId="2" fillId="2" borderId="2" xfId="3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3" fillId="0" borderId="0" xfId="0" applyFont="1" applyFill="1" applyBorder="1"/>
    <xf numFmtId="0" fontId="0" fillId="0" borderId="0" xfId="0" applyFont="1" applyFill="1" applyBorder="1"/>
    <xf numFmtId="165" fontId="5" fillId="3" borderId="0" xfId="1" applyNumberFormat="1" applyFont="1" applyFill="1" applyBorder="1"/>
    <xf numFmtId="165" fontId="0" fillId="0" borderId="0" xfId="1" applyNumberFormat="1" applyFont="1"/>
    <xf numFmtId="165" fontId="5" fillId="0" borderId="0" xfId="0" applyNumberFormat="1" applyFont="1"/>
    <xf numFmtId="165" fontId="0" fillId="0" borderId="0" xfId="0" applyNumberFormat="1"/>
    <xf numFmtId="165" fontId="0" fillId="0" borderId="3" xfId="0" applyNumberFormat="1" applyBorder="1"/>
  </cellXfs>
  <cellStyles count="4">
    <cellStyle name="Celda de comprobación" xfId="3" builtinId="2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EB1A-9C24-4327-969B-1E3A8BCDF6E8}">
  <dimension ref="A1:K36"/>
  <sheetViews>
    <sheetView workbookViewId="0">
      <selection sqref="A1:K36"/>
    </sheetView>
  </sheetViews>
  <sheetFormatPr baseColWidth="10" defaultRowHeight="15" x14ac:dyDescent="0.25"/>
  <cols>
    <col min="1" max="1" width="18.42578125" bestFit="1" customWidth="1"/>
    <col min="2" max="2" width="12" bestFit="1" customWidth="1"/>
    <col min="7" max="7" width="16.140625" bestFit="1" customWidth="1"/>
    <col min="8" max="8" width="56.28515625" customWidth="1"/>
  </cols>
  <sheetData>
    <row r="1" spans="1:11" ht="16.5" thickTop="1" thickBot="1" x14ac:dyDescent="0.3">
      <c r="A1" s="2" t="s">
        <v>0</v>
      </c>
      <c r="B1" s="2"/>
      <c r="C1" s="2"/>
      <c r="D1" s="2"/>
      <c r="E1" s="2"/>
    </row>
    <row r="2" spans="1:11" ht="16.5" thickTop="1" thickBot="1" x14ac:dyDescent="0.3">
      <c r="A2" s="1"/>
      <c r="B2" s="1"/>
      <c r="C2" s="1"/>
      <c r="D2" s="1"/>
      <c r="E2" s="1"/>
    </row>
    <row r="3" spans="1:11" ht="16.5" thickTop="1" thickBot="1" x14ac:dyDescent="0.3">
      <c r="A3" s="2" t="s">
        <v>1</v>
      </c>
      <c r="B3" s="2"/>
      <c r="C3" s="2"/>
      <c r="D3" s="2"/>
      <c r="E3" s="2"/>
    </row>
    <row r="4" spans="1:11" ht="15.75" thickTop="1" x14ac:dyDescent="0.25">
      <c r="A4" s="1"/>
      <c r="B4" s="1"/>
      <c r="C4" s="1"/>
      <c r="D4" s="1"/>
      <c r="E4" s="1"/>
      <c r="H4" s="10" t="s">
        <v>30</v>
      </c>
      <c r="I4" s="11" t="s">
        <v>31</v>
      </c>
      <c r="J4" s="11" t="s">
        <v>32</v>
      </c>
      <c r="K4" s="11" t="s">
        <v>33</v>
      </c>
    </row>
    <row r="5" spans="1:11" x14ac:dyDescent="0.25">
      <c r="A5" s="1" t="s">
        <v>3</v>
      </c>
      <c r="B5" s="1">
        <v>900</v>
      </c>
      <c r="C5" s="1"/>
      <c r="D5" s="1"/>
      <c r="E5" s="1"/>
      <c r="H5" t="s">
        <v>2</v>
      </c>
      <c r="I5" s="18">
        <f>B5</f>
        <v>900</v>
      </c>
      <c r="J5" s="19">
        <f>I5+(I5*$B6)</f>
        <v>945</v>
      </c>
      <c r="K5" s="19">
        <f t="shared" ref="K5" si="0">J5+(J5*$B6)</f>
        <v>992.25</v>
      </c>
    </row>
    <row r="6" spans="1:11" x14ac:dyDescent="0.25">
      <c r="A6" s="1" t="s">
        <v>4</v>
      </c>
      <c r="B6" s="3">
        <v>0.05</v>
      </c>
      <c r="C6" s="1" t="s">
        <v>19</v>
      </c>
      <c r="D6" s="1"/>
      <c r="E6" s="1"/>
      <c r="H6" t="s">
        <v>34</v>
      </c>
      <c r="I6" s="20">
        <f>I5*$B7</f>
        <v>450</v>
      </c>
      <c r="J6" s="21">
        <f t="shared" ref="J6:K6" si="1">J5*$B7</f>
        <v>472.5</v>
      </c>
      <c r="K6" s="21">
        <f t="shared" si="1"/>
        <v>496.125</v>
      </c>
    </row>
    <row r="7" spans="1:11" x14ac:dyDescent="0.25">
      <c r="A7" s="1" t="s">
        <v>5</v>
      </c>
      <c r="B7" s="3">
        <v>0.5</v>
      </c>
      <c r="C7" s="1" t="s">
        <v>17</v>
      </c>
      <c r="D7" s="1"/>
      <c r="E7" s="1"/>
      <c r="H7" s="5" t="s">
        <v>37</v>
      </c>
      <c r="I7" s="21">
        <f>I5-I6</f>
        <v>450</v>
      </c>
      <c r="J7" s="21">
        <f t="shared" ref="J7:K7" si="2">J5-J6</f>
        <v>472.5</v>
      </c>
      <c r="K7" s="21">
        <f t="shared" si="2"/>
        <v>496.125</v>
      </c>
    </row>
    <row r="8" spans="1:11" x14ac:dyDescent="0.25">
      <c r="A8" s="1" t="s">
        <v>6</v>
      </c>
      <c r="B8" s="3">
        <v>0.25</v>
      </c>
      <c r="C8" s="1" t="s">
        <v>17</v>
      </c>
      <c r="D8" s="1"/>
      <c r="E8" s="1"/>
      <c r="H8" t="s">
        <v>38</v>
      </c>
      <c r="I8" s="21">
        <f>(I5*$B8)</f>
        <v>225</v>
      </c>
      <c r="J8" s="21">
        <f t="shared" ref="J8:K8" si="3">(J5*$B8)</f>
        <v>236.25</v>
      </c>
      <c r="K8" s="21">
        <f t="shared" si="3"/>
        <v>248.0625</v>
      </c>
    </row>
    <row r="9" spans="1:11" ht="15.75" thickBot="1" x14ac:dyDescent="0.3">
      <c r="A9" s="1" t="s">
        <v>7</v>
      </c>
      <c r="B9" s="3">
        <v>0.3</v>
      </c>
      <c r="C9" s="1"/>
      <c r="D9" s="1"/>
      <c r="E9" s="1"/>
      <c r="H9" t="s">
        <v>11</v>
      </c>
      <c r="I9" s="21">
        <f>I13/$B12</f>
        <v>18</v>
      </c>
      <c r="J9" s="21">
        <f>J13/$B12</f>
        <v>18.900000000000002</v>
      </c>
      <c r="K9" s="21">
        <f>K13/$B12</f>
        <v>19.844999999999999</v>
      </c>
    </row>
    <row r="10" spans="1:11" ht="16.5" thickTop="1" thickBot="1" x14ac:dyDescent="0.3">
      <c r="A10" s="2" t="s">
        <v>8</v>
      </c>
      <c r="B10" s="2"/>
      <c r="C10" s="2"/>
      <c r="D10" s="2"/>
      <c r="E10" s="2"/>
      <c r="H10" t="s">
        <v>40</v>
      </c>
      <c r="I10" s="19">
        <v>0</v>
      </c>
      <c r="J10" s="19">
        <v>0</v>
      </c>
      <c r="K10" s="19">
        <v>0</v>
      </c>
    </row>
    <row r="11" spans="1:11" ht="15.75" thickTop="1" x14ac:dyDescent="0.25">
      <c r="A11" s="1" t="s">
        <v>9</v>
      </c>
      <c r="B11" s="4">
        <v>0.08</v>
      </c>
      <c r="C11" s="1" t="s">
        <v>17</v>
      </c>
      <c r="D11" s="1"/>
      <c r="E11" s="1"/>
      <c r="H11" t="s">
        <v>35</v>
      </c>
      <c r="I11" s="21">
        <f>I7-I8-I9</f>
        <v>207</v>
      </c>
      <c r="J11" s="21">
        <f>J7-J8-J9</f>
        <v>217.35</v>
      </c>
      <c r="K11" s="21">
        <f>K7-K8-K9</f>
        <v>228.2175</v>
      </c>
    </row>
    <row r="12" spans="1:11" x14ac:dyDescent="0.25">
      <c r="A12" s="1" t="s">
        <v>10</v>
      </c>
      <c r="B12" s="1">
        <v>4</v>
      </c>
      <c r="C12" s="1"/>
      <c r="D12" s="1"/>
      <c r="E12" s="1"/>
      <c r="H12" t="s">
        <v>39</v>
      </c>
      <c r="I12" s="21">
        <f>I11*$B9</f>
        <v>62.099999999999994</v>
      </c>
      <c r="J12" s="21">
        <f t="shared" ref="J12:K12" si="4">J11*$B9</f>
        <v>65.204999999999998</v>
      </c>
      <c r="K12" s="21">
        <f t="shared" si="4"/>
        <v>68.465249999999997</v>
      </c>
    </row>
    <row r="13" spans="1:11" x14ac:dyDescent="0.25">
      <c r="A13" s="1" t="s">
        <v>11</v>
      </c>
      <c r="B13" s="1" t="s">
        <v>12</v>
      </c>
      <c r="C13" s="1"/>
      <c r="D13" s="1"/>
      <c r="E13" s="1"/>
      <c r="H13" t="s">
        <v>9</v>
      </c>
      <c r="I13" s="21">
        <f>(I5*$B11)</f>
        <v>72</v>
      </c>
      <c r="J13" s="21">
        <f>J5*$B11</f>
        <v>75.600000000000009</v>
      </c>
      <c r="K13" s="21">
        <f>K5*$B11</f>
        <v>79.38</v>
      </c>
    </row>
    <row r="14" spans="1:11" ht="15.75" thickBot="1" x14ac:dyDescent="0.3">
      <c r="A14" s="1" t="s">
        <v>53</v>
      </c>
      <c r="B14" s="1">
        <v>0</v>
      </c>
      <c r="C14" s="1"/>
      <c r="D14" s="1"/>
      <c r="E14" s="1"/>
      <c r="H14" s="5" t="s">
        <v>36</v>
      </c>
      <c r="I14" s="21">
        <f>I11-I12</f>
        <v>144.9</v>
      </c>
      <c r="J14" s="21">
        <f>J11-J12</f>
        <v>152.14499999999998</v>
      </c>
      <c r="K14" s="21">
        <f>K11-K12</f>
        <v>159.75225</v>
      </c>
    </row>
    <row r="15" spans="1:11" ht="16.5" thickTop="1" thickBot="1" x14ac:dyDescent="0.3">
      <c r="A15" s="2" t="s">
        <v>13</v>
      </c>
      <c r="B15" s="2"/>
      <c r="C15" s="2"/>
      <c r="D15" s="2"/>
      <c r="E15" s="2"/>
      <c r="I15" s="21"/>
      <c r="J15" s="21"/>
      <c r="K15" s="21"/>
    </row>
    <row r="16" spans="1:11" ht="15.75" thickTop="1" x14ac:dyDescent="0.25">
      <c r="A16" s="1" t="s">
        <v>14</v>
      </c>
      <c r="B16" s="3">
        <v>0.1</v>
      </c>
      <c r="C16" s="1" t="s">
        <v>17</v>
      </c>
      <c r="D16" s="1"/>
      <c r="E16" s="1"/>
      <c r="H16" s="10" t="s">
        <v>41</v>
      </c>
      <c r="I16" s="22"/>
      <c r="J16" s="22"/>
      <c r="K16" s="22"/>
    </row>
    <row r="17" spans="1:11" x14ac:dyDescent="0.25">
      <c r="A17" s="1" t="s">
        <v>15</v>
      </c>
      <c r="B17" s="3">
        <v>0.2</v>
      </c>
      <c r="C17" s="1" t="s">
        <v>18</v>
      </c>
      <c r="D17" s="1"/>
      <c r="E17" s="1"/>
      <c r="H17" s="5" t="s">
        <v>42</v>
      </c>
      <c r="I17" s="21">
        <f>I14+I9+I21+I22+I23</f>
        <v>116.9</v>
      </c>
      <c r="J17" s="21">
        <f t="shared" ref="J17:K17" si="5">J14+J9-J18-J19+J20</f>
        <v>38.744999999999983</v>
      </c>
      <c r="K17" s="21">
        <f t="shared" si="5"/>
        <v>40.682249999999982</v>
      </c>
    </row>
    <row r="18" spans="1:11" x14ac:dyDescent="0.25">
      <c r="A18" s="1" t="s">
        <v>16</v>
      </c>
      <c r="B18" s="3">
        <v>0.12</v>
      </c>
      <c r="C18" s="1" t="s">
        <v>18</v>
      </c>
      <c r="D18" s="1"/>
      <c r="E18" s="1"/>
      <c r="H18" s="17" t="s">
        <v>54</v>
      </c>
      <c r="I18" s="21">
        <f>I5*$B16</f>
        <v>90</v>
      </c>
      <c r="J18" s="21">
        <f t="shared" ref="J18:K18" si="6">J5*$B16</f>
        <v>94.5</v>
      </c>
      <c r="K18" s="21">
        <f t="shared" si="6"/>
        <v>99.225000000000009</v>
      </c>
    </row>
    <row r="19" spans="1:11" x14ac:dyDescent="0.25">
      <c r="H19" s="17" t="s">
        <v>56</v>
      </c>
      <c r="I19" s="21">
        <f>I6*$B17</f>
        <v>90</v>
      </c>
      <c r="J19" s="21">
        <f t="shared" ref="J19:K19" si="7">J6*$B17</f>
        <v>94.5</v>
      </c>
      <c r="K19" s="21">
        <f t="shared" si="7"/>
        <v>99.225000000000009</v>
      </c>
    </row>
    <row r="20" spans="1:11" x14ac:dyDescent="0.25">
      <c r="A20" s="14" t="s">
        <v>20</v>
      </c>
      <c r="B20" s="14"/>
      <c r="H20" s="17" t="s">
        <v>55</v>
      </c>
      <c r="I20" s="21">
        <f>I6*B18</f>
        <v>54</v>
      </c>
      <c r="J20" s="21">
        <f t="shared" ref="J20:K20" si="8">J6*$B18</f>
        <v>56.699999999999996</v>
      </c>
      <c r="K20" s="21">
        <f t="shared" si="8"/>
        <v>59.534999999999997</v>
      </c>
    </row>
    <row r="21" spans="1:11" x14ac:dyDescent="0.25">
      <c r="A21" s="7" t="s">
        <v>23</v>
      </c>
      <c r="B21" s="7" t="s">
        <v>24</v>
      </c>
      <c r="H21" s="17" t="s">
        <v>57</v>
      </c>
      <c r="I21" s="21">
        <f>B23-I18</f>
        <v>0</v>
      </c>
      <c r="J21" s="21"/>
      <c r="K21" s="21"/>
    </row>
    <row r="22" spans="1:11" x14ac:dyDescent="0.25">
      <c r="A22" s="8" t="s">
        <v>25</v>
      </c>
      <c r="B22" s="15">
        <v>120</v>
      </c>
      <c r="H22" s="17" t="s">
        <v>58</v>
      </c>
      <c r="I22" s="21">
        <f>B24-I19</f>
        <v>-5</v>
      </c>
      <c r="J22" s="21"/>
      <c r="K22" s="21"/>
    </row>
    <row r="23" spans="1:11" x14ac:dyDescent="0.25">
      <c r="A23" s="8" t="s">
        <v>26</v>
      </c>
      <c r="B23" s="8">
        <v>90</v>
      </c>
      <c r="H23" s="17" t="s">
        <v>59</v>
      </c>
      <c r="I23" s="21">
        <f>I20-B30</f>
        <v>-41</v>
      </c>
      <c r="J23" s="21"/>
      <c r="K23" s="21"/>
    </row>
    <row r="24" spans="1:11" x14ac:dyDescent="0.25">
      <c r="A24" s="8" t="s">
        <v>15</v>
      </c>
      <c r="B24" s="8">
        <v>85</v>
      </c>
      <c r="H24" s="16" t="s">
        <v>43</v>
      </c>
      <c r="I24" s="21">
        <f>I13</f>
        <v>72</v>
      </c>
      <c r="J24" s="21">
        <f>J13</f>
        <v>75.600000000000009</v>
      </c>
      <c r="K24" s="21">
        <f>K13</f>
        <v>79.38</v>
      </c>
    </row>
    <row r="25" spans="1:11" x14ac:dyDescent="0.25">
      <c r="A25" s="8" t="s">
        <v>27</v>
      </c>
      <c r="B25" s="8">
        <v>300</v>
      </c>
      <c r="G25" t="s">
        <v>46</v>
      </c>
      <c r="H25" s="16" t="s">
        <v>44</v>
      </c>
      <c r="I25" s="19">
        <v>0</v>
      </c>
      <c r="J25" s="19">
        <v>0</v>
      </c>
      <c r="K25" s="19">
        <v>0</v>
      </c>
    </row>
    <row r="26" spans="1:11" x14ac:dyDescent="0.25">
      <c r="A26" s="9" t="s">
        <v>29</v>
      </c>
      <c r="B26" s="6">
        <f>SUM(B22:B25)</f>
        <v>595</v>
      </c>
      <c r="H26" s="17" t="s">
        <v>45</v>
      </c>
      <c r="I26" s="21">
        <f>I17-I24+I25</f>
        <v>44.900000000000006</v>
      </c>
      <c r="J26" s="21">
        <f t="shared" ref="J26:K26" si="9">J17-J24+J25</f>
        <v>-36.855000000000025</v>
      </c>
      <c r="K26" s="21">
        <f t="shared" si="9"/>
        <v>-38.697750000000013</v>
      </c>
    </row>
    <row r="27" spans="1:11" ht="15.75" thickBot="1" x14ac:dyDescent="0.3">
      <c r="I27" s="21"/>
      <c r="J27" s="21"/>
      <c r="K27" s="21"/>
    </row>
    <row r="28" spans="1:11" ht="15.75" thickTop="1" x14ac:dyDescent="0.25">
      <c r="A28" s="12" t="s">
        <v>21</v>
      </c>
      <c r="B28" s="13"/>
      <c r="H28" s="10" t="s">
        <v>47</v>
      </c>
      <c r="I28" s="22"/>
      <c r="J28" s="22"/>
      <c r="K28" s="22"/>
    </row>
    <row r="29" spans="1:11" x14ac:dyDescent="0.25">
      <c r="A29" s="7" t="s">
        <v>23</v>
      </c>
      <c r="B29" s="7" t="s">
        <v>24</v>
      </c>
      <c r="H29" s="17" t="s">
        <v>25</v>
      </c>
      <c r="I29" s="21">
        <f>$B22+I26</f>
        <v>164.9</v>
      </c>
      <c r="J29" s="21">
        <f>$B22+J26</f>
        <v>83.144999999999982</v>
      </c>
      <c r="K29" s="21">
        <f>$B22+K26</f>
        <v>81.302249999999987</v>
      </c>
    </row>
    <row r="30" spans="1:11" x14ac:dyDescent="0.25">
      <c r="A30" s="8" t="s">
        <v>16</v>
      </c>
      <c r="B30" s="8">
        <v>95</v>
      </c>
      <c r="H30" s="17" t="s">
        <v>48</v>
      </c>
      <c r="I30" s="21">
        <f>I18</f>
        <v>90</v>
      </c>
      <c r="J30" s="21">
        <f>J18</f>
        <v>94.5</v>
      </c>
      <c r="K30" s="21">
        <f>K18</f>
        <v>99.225000000000009</v>
      </c>
    </row>
    <row r="31" spans="1:11" ht="15.75" thickBot="1" x14ac:dyDescent="0.3">
      <c r="C31" s="6" t="s">
        <v>29</v>
      </c>
      <c r="D31" s="6">
        <f>B30+B34</f>
        <v>595</v>
      </c>
      <c r="H31" s="17" t="s">
        <v>15</v>
      </c>
      <c r="I31" s="21">
        <f>I6*$B17</f>
        <v>90</v>
      </c>
      <c r="J31" s="21">
        <f>J6*$B17</f>
        <v>94.5</v>
      </c>
      <c r="K31" s="21">
        <f>K6*$B17</f>
        <v>99.225000000000009</v>
      </c>
    </row>
    <row r="32" spans="1:11" ht="15.75" thickTop="1" x14ac:dyDescent="0.25">
      <c r="A32" s="12" t="s">
        <v>22</v>
      </c>
      <c r="B32" s="13"/>
      <c r="H32" s="17" t="s">
        <v>49</v>
      </c>
      <c r="I32" s="21">
        <f>$B25+I13-I9</f>
        <v>354</v>
      </c>
      <c r="J32" s="21">
        <f>$B25+J13-J9</f>
        <v>356.70000000000005</v>
      </c>
      <c r="K32" s="21">
        <f>$B25+K13-K9</f>
        <v>359.53499999999997</v>
      </c>
    </row>
    <row r="33" spans="1:11" x14ac:dyDescent="0.25">
      <c r="A33" s="7" t="s">
        <v>23</v>
      </c>
      <c r="B33" s="7" t="s">
        <v>24</v>
      </c>
      <c r="H33" s="5" t="s">
        <v>50</v>
      </c>
      <c r="I33" s="21">
        <f>I29+I30+I31+I32</f>
        <v>698.9</v>
      </c>
      <c r="J33" s="21">
        <f t="shared" ref="J33:K33" si="10">J29+J30+J31+J32</f>
        <v>628.84500000000003</v>
      </c>
      <c r="K33" s="21">
        <f t="shared" si="10"/>
        <v>639.28724999999997</v>
      </c>
    </row>
    <row r="34" spans="1:11" x14ac:dyDescent="0.25">
      <c r="A34" s="8" t="s">
        <v>28</v>
      </c>
      <c r="B34" s="8">
        <v>500</v>
      </c>
      <c r="G34" t="s">
        <v>21</v>
      </c>
      <c r="H34" s="17" t="s">
        <v>51</v>
      </c>
      <c r="I34" s="21">
        <f>I6*$B18</f>
        <v>54</v>
      </c>
      <c r="J34" s="21">
        <f>J6*$B18</f>
        <v>56.699999999999996</v>
      </c>
      <c r="K34" s="21">
        <f>K6*$B18</f>
        <v>59.534999999999997</v>
      </c>
    </row>
    <row r="35" spans="1:11" x14ac:dyDescent="0.25">
      <c r="G35" t="s">
        <v>22</v>
      </c>
      <c r="H35" s="17" t="s">
        <v>28</v>
      </c>
      <c r="I35" s="21">
        <f>$B34+I14</f>
        <v>644.9</v>
      </c>
      <c r="J35" s="21">
        <f>$B34+J14</f>
        <v>652.14499999999998</v>
      </c>
      <c r="K35" s="21">
        <f>$B34+K14</f>
        <v>659.75225</v>
      </c>
    </row>
    <row r="36" spans="1:11" x14ac:dyDescent="0.25">
      <c r="H36" s="17" t="s">
        <v>52</v>
      </c>
      <c r="I36" s="21">
        <f>I34+I35</f>
        <v>698.9</v>
      </c>
      <c r="J36" s="21">
        <f t="shared" ref="J36:K36" si="11">J34+J35</f>
        <v>708.84500000000003</v>
      </c>
      <c r="K36" s="21">
        <f t="shared" si="11"/>
        <v>719.28724999999997</v>
      </c>
    </row>
  </sheetData>
  <mergeCells count="7">
    <mergeCell ref="A32:B32"/>
    <mergeCell ref="A1:E1"/>
    <mergeCell ref="A3:E3"/>
    <mergeCell ref="A10:E10"/>
    <mergeCell ref="A15:E15"/>
    <mergeCell ref="A20:B20"/>
    <mergeCell ref="A28:B2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4436-58B2-4AC4-B377-91282D2E3A75}">
  <dimension ref="A1:K36"/>
  <sheetViews>
    <sheetView tabSelected="1" topLeftCell="A12" workbookViewId="0">
      <selection activeCell="I17" sqref="I17"/>
    </sheetView>
  </sheetViews>
  <sheetFormatPr baseColWidth="10" defaultRowHeight="15" x14ac:dyDescent="0.25"/>
  <cols>
    <col min="1" max="1" width="19.140625" bestFit="1" customWidth="1"/>
    <col min="7" max="7" width="16.140625" bestFit="1" customWidth="1"/>
    <col min="8" max="8" width="24.42578125" bestFit="1" customWidth="1"/>
  </cols>
  <sheetData>
    <row r="1" spans="1:11" ht="16.5" thickTop="1" thickBot="1" x14ac:dyDescent="0.3">
      <c r="A1" s="2" t="s">
        <v>0</v>
      </c>
      <c r="B1" s="2"/>
      <c r="C1" s="2"/>
      <c r="D1" s="2"/>
      <c r="E1" s="2"/>
    </row>
    <row r="2" spans="1:11" ht="16.5" thickTop="1" thickBot="1" x14ac:dyDescent="0.3">
      <c r="A2" s="1"/>
      <c r="B2" s="1"/>
      <c r="C2" s="1"/>
      <c r="D2" s="1"/>
      <c r="E2" s="1"/>
    </row>
    <row r="3" spans="1:11" ht="16.5" thickTop="1" thickBot="1" x14ac:dyDescent="0.3">
      <c r="A3" s="2" t="s">
        <v>1</v>
      </c>
      <c r="B3" s="2"/>
      <c r="C3" s="2"/>
      <c r="D3" s="2"/>
      <c r="E3" s="2"/>
    </row>
    <row r="4" spans="1:11" ht="15.75" thickTop="1" x14ac:dyDescent="0.25">
      <c r="A4" s="1"/>
      <c r="B4" s="1"/>
      <c r="C4" s="1"/>
      <c r="D4" s="1"/>
      <c r="E4" s="1"/>
      <c r="H4" s="10" t="s">
        <v>30</v>
      </c>
      <c r="I4" s="11" t="s">
        <v>31</v>
      </c>
      <c r="J4" s="11" t="s">
        <v>32</v>
      </c>
      <c r="K4" s="11" t="s">
        <v>33</v>
      </c>
    </row>
    <row r="5" spans="1:11" x14ac:dyDescent="0.25">
      <c r="A5" s="1" t="s">
        <v>3</v>
      </c>
      <c r="B5" s="1">
        <v>900</v>
      </c>
      <c r="C5" s="1"/>
      <c r="D5" s="1"/>
      <c r="E5" s="1"/>
      <c r="H5" t="s">
        <v>2</v>
      </c>
      <c r="I5" s="18">
        <f>B5</f>
        <v>900</v>
      </c>
      <c r="J5" s="19">
        <f>I5+(I5*$B6)</f>
        <v>945</v>
      </c>
      <c r="K5" s="19">
        <f t="shared" ref="K5" si="0">J5+(J5*$B6)</f>
        <v>992.25</v>
      </c>
    </row>
    <row r="6" spans="1:11" x14ac:dyDescent="0.25">
      <c r="A6" s="1" t="s">
        <v>4</v>
      </c>
      <c r="B6" s="3">
        <v>0.05</v>
      </c>
      <c r="C6" s="1" t="s">
        <v>19</v>
      </c>
      <c r="D6" s="1"/>
      <c r="E6" s="1"/>
      <c r="H6" t="s">
        <v>34</v>
      </c>
      <c r="I6" s="20">
        <f>I5*$B7</f>
        <v>450</v>
      </c>
      <c r="J6" s="21">
        <f t="shared" ref="J6:K6" si="1">J5*$B7</f>
        <v>472.5</v>
      </c>
      <c r="K6" s="21">
        <f t="shared" si="1"/>
        <v>496.125</v>
      </c>
    </row>
    <row r="7" spans="1:11" x14ac:dyDescent="0.25">
      <c r="A7" s="1" t="s">
        <v>5</v>
      </c>
      <c r="B7" s="3">
        <v>0.5</v>
      </c>
      <c r="C7" s="1" t="s">
        <v>17</v>
      </c>
      <c r="D7" s="1"/>
      <c r="E7" s="1"/>
      <c r="H7" s="5" t="s">
        <v>37</v>
      </c>
      <c r="I7" s="21">
        <f>I5-I6</f>
        <v>450</v>
      </c>
      <c r="J7" s="21">
        <f t="shared" ref="J7:K7" si="2">J5-J6</f>
        <v>472.5</v>
      </c>
      <c r="K7" s="21">
        <f t="shared" si="2"/>
        <v>496.125</v>
      </c>
    </row>
    <row r="8" spans="1:11" x14ac:dyDescent="0.25">
      <c r="A8" s="1" t="s">
        <v>6</v>
      </c>
      <c r="B8" s="3">
        <v>0.25</v>
      </c>
      <c r="C8" s="1" t="s">
        <v>17</v>
      </c>
      <c r="D8" s="1"/>
      <c r="E8" s="1"/>
      <c r="H8" t="s">
        <v>38</v>
      </c>
      <c r="I8" s="21">
        <f>(I5*$B8)</f>
        <v>225</v>
      </c>
      <c r="J8" s="21">
        <f t="shared" ref="J8:K8" si="3">(J5*$B8)</f>
        <v>236.25</v>
      </c>
      <c r="K8" s="21">
        <f t="shared" si="3"/>
        <v>248.0625</v>
      </c>
    </row>
    <row r="9" spans="1:11" ht="15.75" thickBot="1" x14ac:dyDescent="0.3">
      <c r="A9" s="1" t="s">
        <v>7</v>
      </c>
      <c r="B9" s="3">
        <v>0.3</v>
      </c>
      <c r="C9" s="1"/>
      <c r="D9" s="1"/>
      <c r="E9" s="1"/>
      <c r="H9" t="s">
        <v>11</v>
      </c>
      <c r="I9" s="21">
        <f>I13/$B12</f>
        <v>18</v>
      </c>
      <c r="J9" s="21">
        <f>J13/$B12</f>
        <v>18.900000000000002</v>
      </c>
      <c r="K9" s="21">
        <f>K13/$B12</f>
        <v>19.844999999999999</v>
      </c>
    </row>
    <row r="10" spans="1:11" ht="16.5" thickTop="1" thickBot="1" x14ac:dyDescent="0.3">
      <c r="A10" s="2" t="s">
        <v>8</v>
      </c>
      <c r="B10" s="2"/>
      <c r="C10" s="2"/>
      <c r="D10" s="2"/>
      <c r="E10" s="2"/>
      <c r="H10" t="s">
        <v>40</v>
      </c>
      <c r="I10" s="19">
        <v>0</v>
      </c>
      <c r="J10" s="19">
        <v>0</v>
      </c>
      <c r="K10" s="19">
        <v>0</v>
      </c>
    </row>
    <row r="11" spans="1:11" ht="15.75" thickTop="1" x14ac:dyDescent="0.25">
      <c r="A11" s="1" t="s">
        <v>9</v>
      </c>
      <c r="B11" s="4">
        <v>0.08</v>
      </c>
      <c r="C11" s="1" t="s">
        <v>17</v>
      </c>
      <c r="D11" s="1"/>
      <c r="E11" s="1"/>
      <c r="H11" t="s">
        <v>35</v>
      </c>
      <c r="I11" s="21">
        <f>I7-I8-I9</f>
        <v>207</v>
      </c>
      <c r="J11" s="21">
        <f>J7-J8-J9</f>
        <v>217.35</v>
      </c>
      <c r="K11" s="21">
        <f>K7-K8-K9</f>
        <v>228.2175</v>
      </c>
    </row>
    <row r="12" spans="1:11" x14ac:dyDescent="0.25">
      <c r="A12" s="1" t="s">
        <v>10</v>
      </c>
      <c r="B12" s="1">
        <v>4</v>
      </c>
      <c r="C12" s="1"/>
      <c r="D12" s="1"/>
      <c r="E12" s="1"/>
      <c r="H12" t="s">
        <v>39</v>
      </c>
      <c r="I12" s="21">
        <f>I11*$B9</f>
        <v>62.099999999999994</v>
      </c>
      <c r="J12" s="21">
        <f t="shared" ref="J12:K12" si="4">J11*$B9</f>
        <v>65.204999999999998</v>
      </c>
      <c r="K12" s="21">
        <f t="shared" si="4"/>
        <v>68.465249999999997</v>
      </c>
    </row>
    <row r="13" spans="1:11" x14ac:dyDescent="0.25">
      <c r="A13" s="1" t="s">
        <v>11</v>
      </c>
      <c r="B13" s="1" t="s">
        <v>12</v>
      </c>
      <c r="C13" s="1"/>
      <c r="D13" s="1"/>
      <c r="E13" s="1"/>
      <c r="H13" t="s">
        <v>9</v>
      </c>
      <c r="I13" s="21">
        <f>(I5*$B11)</f>
        <v>72</v>
      </c>
      <c r="J13" s="21">
        <f>J5*$B11</f>
        <v>75.600000000000009</v>
      </c>
      <c r="K13" s="21">
        <f>K5*$B11</f>
        <v>79.38</v>
      </c>
    </row>
    <row r="14" spans="1:11" ht="15.75" thickBot="1" x14ac:dyDescent="0.3">
      <c r="A14" s="1" t="s">
        <v>53</v>
      </c>
      <c r="B14" s="1">
        <v>0</v>
      </c>
      <c r="C14" s="1"/>
      <c r="D14" s="1"/>
      <c r="E14" s="1"/>
      <c r="H14" s="5" t="s">
        <v>36</v>
      </c>
      <c r="I14" s="21">
        <f>I11-I12</f>
        <v>144.9</v>
      </c>
      <c r="J14" s="21">
        <f>J11-J12</f>
        <v>152.14499999999998</v>
      </c>
      <c r="K14" s="21">
        <f>K11-K12</f>
        <v>159.75225</v>
      </c>
    </row>
    <row r="15" spans="1:11" ht="16.5" thickTop="1" thickBot="1" x14ac:dyDescent="0.3">
      <c r="A15" s="2" t="s">
        <v>13</v>
      </c>
      <c r="B15" s="2"/>
      <c r="C15" s="2"/>
      <c r="D15" s="2"/>
      <c r="E15" s="2"/>
      <c r="I15" s="21"/>
      <c r="J15" s="21"/>
      <c r="K15" s="21"/>
    </row>
    <row r="16" spans="1:11" ht="15.75" thickTop="1" x14ac:dyDescent="0.25">
      <c r="A16" s="1" t="s">
        <v>14</v>
      </c>
      <c r="B16" s="3">
        <v>0.1</v>
      </c>
      <c r="C16" s="1" t="s">
        <v>17</v>
      </c>
      <c r="D16" s="1"/>
      <c r="E16" s="1"/>
      <c r="H16" s="10" t="s">
        <v>41</v>
      </c>
      <c r="I16" s="22"/>
      <c r="J16" s="22"/>
      <c r="K16" s="22"/>
    </row>
    <row r="17" spans="1:11" x14ac:dyDescent="0.25">
      <c r="A17" s="1" t="s">
        <v>15</v>
      </c>
      <c r="B17" s="3">
        <v>0.2</v>
      </c>
      <c r="C17" s="1" t="s">
        <v>18</v>
      </c>
      <c r="D17" s="1"/>
      <c r="E17" s="1"/>
      <c r="H17" s="5" t="s">
        <v>42</v>
      </c>
      <c r="I17" s="21">
        <f>I14+I9+I21+I22+I23</f>
        <v>116.9</v>
      </c>
      <c r="J17" s="21">
        <f t="shared" ref="J17:K17" si="5">J14+J9-J18-J19+J20</f>
        <v>38.744999999999983</v>
      </c>
      <c r="K17" s="21">
        <f t="shared" si="5"/>
        <v>40.682249999999982</v>
      </c>
    </row>
    <row r="18" spans="1:11" x14ac:dyDescent="0.25">
      <c r="A18" s="1" t="s">
        <v>16</v>
      </c>
      <c r="B18" s="3">
        <v>0.12</v>
      </c>
      <c r="C18" s="1" t="s">
        <v>18</v>
      </c>
      <c r="D18" s="1"/>
      <c r="E18" s="1"/>
      <c r="H18" s="17" t="s">
        <v>54</v>
      </c>
      <c r="I18" s="21">
        <f>I5*$B16</f>
        <v>90</v>
      </c>
      <c r="J18" s="21">
        <f t="shared" ref="J18:K19" si="6">J5*$B16</f>
        <v>94.5</v>
      </c>
      <c r="K18" s="21">
        <f t="shared" si="6"/>
        <v>99.225000000000009</v>
      </c>
    </row>
    <row r="19" spans="1:11" x14ac:dyDescent="0.25">
      <c r="H19" s="17" t="s">
        <v>56</v>
      </c>
      <c r="I19" s="21">
        <f>I6*$B17</f>
        <v>90</v>
      </c>
      <c r="J19" s="21">
        <f t="shared" si="6"/>
        <v>94.5</v>
      </c>
      <c r="K19" s="21">
        <f t="shared" si="6"/>
        <v>99.225000000000009</v>
      </c>
    </row>
    <row r="20" spans="1:11" x14ac:dyDescent="0.25">
      <c r="A20" s="14" t="s">
        <v>20</v>
      </c>
      <c r="B20" s="14"/>
      <c r="H20" s="17" t="s">
        <v>55</v>
      </c>
      <c r="I20" s="21">
        <f>I6*B18</f>
        <v>54</v>
      </c>
      <c r="J20" s="21">
        <f t="shared" ref="J20:K20" si="7">J6*$B18</f>
        <v>56.699999999999996</v>
      </c>
      <c r="K20" s="21">
        <f t="shared" si="7"/>
        <v>59.534999999999997</v>
      </c>
    </row>
    <row r="21" spans="1:11" x14ac:dyDescent="0.25">
      <c r="A21" s="7" t="s">
        <v>23</v>
      </c>
      <c r="B21" s="7" t="s">
        <v>24</v>
      </c>
      <c r="H21" s="17" t="s">
        <v>57</v>
      </c>
      <c r="I21" s="21">
        <f>B23-I18</f>
        <v>0</v>
      </c>
      <c r="J21" s="21">
        <f t="shared" ref="J21:K21" si="8">C23-J18</f>
        <v>-94.5</v>
      </c>
      <c r="K21" s="21">
        <f t="shared" si="8"/>
        <v>-99.225000000000009</v>
      </c>
    </row>
    <row r="22" spans="1:11" x14ac:dyDescent="0.25">
      <c r="A22" s="8" t="s">
        <v>25</v>
      </c>
      <c r="B22" s="15">
        <v>120</v>
      </c>
      <c r="H22" s="17" t="s">
        <v>58</v>
      </c>
      <c r="I22" s="21">
        <f>B24-I19</f>
        <v>-5</v>
      </c>
      <c r="J22" s="21">
        <f t="shared" ref="J22:K22" si="9">C24-J19</f>
        <v>-94.5</v>
      </c>
      <c r="K22" s="21">
        <f t="shared" si="9"/>
        <v>-99.225000000000009</v>
      </c>
    </row>
    <row r="23" spans="1:11" x14ac:dyDescent="0.25">
      <c r="A23" s="8" t="s">
        <v>26</v>
      </c>
      <c r="B23" s="8">
        <v>90</v>
      </c>
      <c r="H23" s="17" t="s">
        <v>59</v>
      </c>
      <c r="I23" s="21">
        <f>I20-B30</f>
        <v>-41</v>
      </c>
      <c r="J23" s="21">
        <f t="shared" ref="J23:K23" si="10">J20-C30</f>
        <v>56.699999999999996</v>
      </c>
      <c r="K23" s="21">
        <f t="shared" si="10"/>
        <v>59.534999999999997</v>
      </c>
    </row>
    <row r="24" spans="1:11" x14ac:dyDescent="0.25">
      <c r="A24" s="8" t="s">
        <v>15</v>
      </c>
      <c r="B24" s="8">
        <v>85</v>
      </c>
      <c r="H24" s="16" t="s">
        <v>43</v>
      </c>
      <c r="I24" s="21">
        <f>I13</f>
        <v>72</v>
      </c>
      <c r="J24" s="21">
        <f>J13</f>
        <v>75.600000000000009</v>
      </c>
      <c r="K24" s="21">
        <f>K13</f>
        <v>79.38</v>
      </c>
    </row>
    <row r="25" spans="1:11" x14ac:dyDescent="0.25">
      <c r="A25" s="8" t="s">
        <v>27</v>
      </c>
      <c r="B25" s="8">
        <v>300</v>
      </c>
      <c r="G25" t="s">
        <v>46</v>
      </c>
      <c r="H25" s="16" t="s">
        <v>44</v>
      </c>
      <c r="I25" s="19">
        <v>0</v>
      </c>
      <c r="J25" s="19">
        <v>0</v>
      </c>
      <c r="K25" s="19">
        <v>0</v>
      </c>
    </row>
    <row r="26" spans="1:11" x14ac:dyDescent="0.25">
      <c r="A26" s="9" t="s">
        <v>29</v>
      </c>
      <c r="B26" s="6">
        <f>SUM(B22:B25)</f>
        <v>595</v>
      </c>
      <c r="H26" s="17" t="s">
        <v>45</v>
      </c>
      <c r="I26" s="21">
        <f>I17-I24+I25</f>
        <v>44.900000000000006</v>
      </c>
      <c r="J26" s="21">
        <f t="shared" ref="J26:K26" si="11">J17-J24+J25</f>
        <v>-36.855000000000025</v>
      </c>
      <c r="K26" s="21">
        <f t="shared" si="11"/>
        <v>-38.697750000000013</v>
      </c>
    </row>
    <row r="27" spans="1:11" ht="15.75" thickBot="1" x14ac:dyDescent="0.3">
      <c r="I27" s="21"/>
      <c r="J27" s="21"/>
      <c r="K27" s="21"/>
    </row>
    <row r="28" spans="1:11" ht="15.75" thickTop="1" x14ac:dyDescent="0.25">
      <c r="A28" s="12" t="s">
        <v>21</v>
      </c>
      <c r="B28" s="13"/>
      <c r="H28" s="10" t="s">
        <v>47</v>
      </c>
      <c r="I28" s="22"/>
      <c r="J28" s="22"/>
      <c r="K28" s="22"/>
    </row>
    <row r="29" spans="1:11" x14ac:dyDescent="0.25">
      <c r="A29" s="7" t="s">
        <v>23</v>
      </c>
      <c r="B29" s="7" t="s">
        <v>24</v>
      </c>
      <c r="H29" s="17" t="s">
        <v>25</v>
      </c>
      <c r="I29" s="21">
        <f>$B22+I26</f>
        <v>164.9</v>
      </c>
      <c r="J29" s="21">
        <f>$B22+J26</f>
        <v>83.144999999999982</v>
      </c>
      <c r="K29" s="21">
        <f>$B22+K26</f>
        <v>81.302249999999987</v>
      </c>
    </row>
    <row r="30" spans="1:11" x14ac:dyDescent="0.25">
      <c r="A30" s="8" t="s">
        <v>16</v>
      </c>
      <c r="B30" s="8">
        <v>95</v>
      </c>
      <c r="H30" s="17" t="s">
        <v>48</v>
      </c>
      <c r="I30" s="21">
        <f>I18</f>
        <v>90</v>
      </c>
      <c r="J30" s="21">
        <f>J18</f>
        <v>94.5</v>
      </c>
      <c r="K30" s="21">
        <f>K18</f>
        <v>99.225000000000009</v>
      </c>
    </row>
    <row r="31" spans="1:11" ht="15.75" thickBot="1" x14ac:dyDescent="0.3">
      <c r="C31" s="6" t="s">
        <v>29</v>
      </c>
      <c r="D31" s="6">
        <f>B30+B34</f>
        <v>595</v>
      </c>
      <c r="H31" s="17" t="s">
        <v>15</v>
      </c>
      <c r="I31" s="21">
        <f>I6*$B17</f>
        <v>90</v>
      </c>
      <c r="J31" s="21">
        <f>J6*$B17</f>
        <v>94.5</v>
      </c>
      <c r="K31" s="21">
        <f>K6*$B17</f>
        <v>99.225000000000009</v>
      </c>
    </row>
    <row r="32" spans="1:11" ht="15.75" thickTop="1" x14ac:dyDescent="0.25">
      <c r="A32" s="12" t="s">
        <v>22</v>
      </c>
      <c r="B32" s="13"/>
      <c r="H32" s="17" t="s">
        <v>49</v>
      </c>
      <c r="I32" s="21">
        <f>$B25+I13-I9</f>
        <v>354</v>
      </c>
      <c r="J32" s="21">
        <f>$B25+J13-J9</f>
        <v>356.70000000000005</v>
      </c>
      <c r="K32" s="21">
        <f>$B25+K13-K9</f>
        <v>359.53499999999997</v>
      </c>
    </row>
    <row r="33" spans="1:11" x14ac:dyDescent="0.25">
      <c r="A33" s="7" t="s">
        <v>23</v>
      </c>
      <c r="B33" s="7" t="s">
        <v>24</v>
      </c>
      <c r="H33" s="5" t="s">
        <v>50</v>
      </c>
      <c r="I33" s="21">
        <f>I29+I30+I31+I32</f>
        <v>698.9</v>
      </c>
      <c r="J33" s="21">
        <f t="shared" ref="J33:K33" si="12">J29+J30+J31+J32</f>
        <v>628.84500000000003</v>
      </c>
      <c r="K33" s="21">
        <f t="shared" si="12"/>
        <v>639.28724999999997</v>
      </c>
    </row>
    <row r="34" spans="1:11" x14ac:dyDescent="0.25">
      <c r="A34" s="8" t="s">
        <v>28</v>
      </c>
      <c r="B34" s="8">
        <v>500</v>
      </c>
      <c r="G34" t="s">
        <v>21</v>
      </c>
      <c r="H34" s="17" t="s">
        <v>51</v>
      </c>
      <c r="I34" s="21">
        <f>I6*$B18</f>
        <v>54</v>
      </c>
      <c r="J34" s="21">
        <f>J6*$B18</f>
        <v>56.699999999999996</v>
      </c>
      <c r="K34" s="21">
        <f>K6*$B18</f>
        <v>59.534999999999997</v>
      </c>
    </row>
    <row r="35" spans="1:11" x14ac:dyDescent="0.25">
      <c r="G35" t="s">
        <v>22</v>
      </c>
      <c r="H35" s="17" t="s">
        <v>28</v>
      </c>
      <c r="I35" s="21">
        <f>$B34+I14</f>
        <v>644.9</v>
      </c>
      <c r="J35" s="21">
        <f>$B34+J14</f>
        <v>652.14499999999998</v>
      </c>
      <c r="K35" s="21">
        <f>$B34+K14</f>
        <v>659.75225</v>
      </c>
    </row>
    <row r="36" spans="1:11" x14ac:dyDescent="0.25">
      <c r="H36" s="17" t="s">
        <v>52</v>
      </c>
      <c r="I36" s="21">
        <f>I34+I35</f>
        <v>698.9</v>
      </c>
      <c r="J36" s="21">
        <f t="shared" ref="J36:K36" si="13">J34+J35</f>
        <v>708.84500000000003</v>
      </c>
      <c r="K36" s="21">
        <f t="shared" si="13"/>
        <v>719.28724999999997</v>
      </c>
    </row>
  </sheetData>
  <mergeCells count="7">
    <mergeCell ref="A32:B32"/>
    <mergeCell ref="A1:E1"/>
    <mergeCell ref="A3:E3"/>
    <mergeCell ref="A10:E10"/>
    <mergeCell ref="A15:E15"/>
    <mergeCell ref="A20:B20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Assumptions</vt:lpstr>
      <vt:lpstr>Stress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Diaz-Rio Varez, Eduardo (2020)</dc:creator>
  <cp:lastModifiedBy>Diaz-Rio Varez, Eduardo (2020)</cp:lastModifiedBy>
  <dcterms:created xsi:type="dcterms:W3CDTF">2026-01-18T12:32:30Z</dcterms:created>
  <dcterms:modified xsi:type="dcterms:W3CDTF">2026-01-18T18:47:45Z</dcterms:modified>
</cp:coreProperties>
</file>